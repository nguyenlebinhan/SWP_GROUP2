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976f475274f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a194c4ae2c5f40fe"/>
    <x:sheet xmlns:r="http://schemas.openxmlformats.org/officeDocument/2006/relationships" name="Summary" sheetId="2" r:id="R23414ab8e47547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color theme="1"/>
      <x:name val="Calibri"/>
    </x:font>
    <x:font>
      <x:b/>
      <x:sz val="11"/>
      <x:color rgb="FFFFFF"/>
      <x:name val="Calibri"/>
    </x:font>
    <x:font>
      <x:b/>
      <x:sz val="14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274E13"/>
      </x:font>
      <x:fill>
        <x:patternFill patternType="solid">
          <x:bgColor rgb="D9EAD3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  <x:dxf>
      <x:font>
        <x:color rgb="4C1130"/>
      </x:font>
      <x:fill>
        <x:patternFill patternType="solid">
          <x:bgColor rgb="EADC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ddf2d92474f62" /><Relationship Type="http://schemas.openxmlformats.org/officeDocument/2006/relationships/theme" Target="/xl/theme/theme1.xml" Id="R3ae4b46996bb480f" /><Relationship Type="http://schemas.openxmlformats.org/officeDocument/2006/relationships/sharedStrings" Target="/xl/sharedStrings.xml" Id="Rf9bdcbd45070484b" /><Relationship Type="http://schemas.openxmlformats.org/officeDocument/2006/relationships/worksheet" Target="/xl/worksheets/sheet1.xml" Id="Ra194c4ae2c5f40fe" /><Relationship Type="http://schemas.openxmlformats.org/officeDocument/2006/relationships/worksheet" Target="/xl/worksheets/sheet2.xml" Id="R23414ab8e4754756" /></Relationships>
</file>

<file path=xl/tables/table1.xml><?xml version="1.0" encoding="utf-8"?>
<x:table xmlns:x="http://schemas.openxmlformats.org/spreadsheetml/2006/main" id="1" name="Attendance_IT_Table" displayName="Attendance_IT_Table" ref="A1:F7" headerRowCount="1">
  <x:tableColumns count="6">
    <x:tableColumn id="1" name="employeeCode"/>
    <x:tableColumn id="2" name="workDate"/>
    <x:tableColumn id="3" name="timeIn"/>
    <x:tableColumn id="4" name="timeOut"/>
    <x:tableColumn id="5" name="attendanceStatus"/>
    <x:tableColumn id="6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Status_IT_Summary" displayName="Status_IT_Summary" ref="A3:B7" headerRowCount="1">
  <x:tableColumns count="2">
    <x:tableColumn id="1" name="Status"/>
    <x:tableColumn id="2" name="Count"/>
  </x:tableColumns>
  <x:tableStyleInfo name="TableStyleMedium2" showRowStripes="1"/>
</x:table>
</file>

<file path=xl/tables/table3.xml><?xml version="1.0" encoding="utf-8"?>
<x:table xmlns:x="http://schemas.openxmlformats.org/spreadsheetml/2006/main" id="3" name="Employee_IT_Summary" displayName="Employee_IT_Summary" ref="D3:I6" headerRowCount="1">
  <x:tableColumns count="6">
    <x:tableColumn id="1" name="Employee"/>
    <x:tableColumn id="2" name="Present"/>
    <x:tableColumn id="3" name="Late"/>
    <x:tableColumn id="4" name="Absent"/>
    <x:tableColumn id="5" name="Unexcused"/>
    <x:tableColumn id="6" name="Total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dc6fc2fe7c4e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71cfd05ee145ea" /><Relationship Type="http://schemas.openxmlformats.org/officeDocument/2006/relationships/table" Target="/xl/tables/table3.xml" Id="Rfe11e32b31a645e2" /></Relationships>
</file>

<file path=xl/worksheets/sheet1.xml><?xml version="1.0" encoding="utf-8"?>
<x:worksheet xmlns:x="http://schemas.openxmlformats.org/spreadsheetml/2006/main">
  <x:sheetFormatPr defaultRowHeight="14.399999618530273"/>
  <x:cols>
    <x:col min="1" max="1" width="16" hidden="0" customWidth="1"/>
    <x:col min="2" max="2" width="14" hidden="0" customWidth="1"/>
    <x:col min="4" max="4" width="12" hidden="0" customWidth="1"/>
    <x:col min="5" max="5" width="20" hidden="0" customWidth="1"/>
    <x:col min="6" max="6" width="28" hidden="0" customWidth="1"/>
    <x:col min="3" max="3" width="12" hidden="0" customWidth="1"/>
  </x:cols>
  <x:sheetData>
    <x:row r="1" ht="24" customHeight="1">
      <x:c r="A1" s="6" t="str">
        <x:v>employeeCode</x:v>
      </x:c>
      <x:c r="B1" s="6" t="str">
        <x:v>workDate</x:v>
      </x:c>
      <x:c r="C1" s="6" t="str">
        <x:v>timeIn</x:v>
      </x:c>
      <x:c r="D1" s="6" t="str">
        <x:v>timeOut</x:v>
      </x:c>
      <x:c r="E1" s="6" t="str">
        <x:v>attendanceStatus</x:v>
      </x:c>
      <x:c r="F1" s="6" t="str">
        <x:v>note</x:v>
      </x:c>
    </x:row>
    <x:row r="2">
      <x:c r="A2" s="16" t="str">
        <x:v>EMP001</x:v>
      </x:c>
      <x:c r="B2" s="18" t="n">
        <x:v>46174</x:v>
      </x:c>
      <x:c r="C2" s="20" t="str">
        <x:v>08:00</x:v>
      </x:c>
      <x:c r="D2" s="20" t="str">
        <x:v>17:00</x:v>
      </x:c>
      <x:c r="E2" s="16" t="str">
        <x:v>PRESENT</x:v>
      </x:c>
      <x:c r="F2" s="14"/>
    </x:row>
    <x:row r="3">
      <x:c r="A3" s="16" t="str">
        <x:v>EMP001</x:v>
      </x:c>
      <x:c r="B3" s="18" t="n">
        <x:v>46175</x:v>
      </x:c>
      <x:c r="C3" s="20" t="str">
        <x:v>08:35</x:v>
      </x:c>
      <x:c r="D3" s="20" t="str">
        <x:v>17:05</x:v>
      </x:c>
      <x:c r="E3" s="16" t="str">
        <x:v>LATE</x:v>
      </x:c>
      <x:c r="F3" s="14" t="str">
        <x:v>Đi trễ</x:v>
      </x:c>
    </x:row>
    <x:row r="4">
      <x:c r="A4" s="16" t="str">
        <x:v>EMP002</x:v>
      </x:c>
      <x:c r="B4" s="18" t="n">
        <x:v>46174</x:v>
      </x:c>
      <x:c r="C4" s="20" t="str">
        <x:v>08:00</x:v>
      </x:c>
      <x:c r="D4" s="20" t="str">
        <x:v>17:30</x:v>
      </x:c>
      <x:c r="E4" s="16" t="str">
        <x:v>PRESENT</x:v>
      </x:c>
      <x:c r="F4" s="14"/>
    </x:row>
    <x:row r="5">
      <x:c r="A5" s="16" t="str">
        <x:v>EMP002</x:v>
      </x:c>
      <x:c r="B5" s="18" t="n">
        <x:v>46175</x:v>
      </x:c>
      <x:c r="C5" s="20"/>
      <x:c r="D5" s="20"/>
      <x:c r="E5" s="16" t="str">
        <x:v>ABSENT</x:v>
      </x:c>
      <x:c r="F5" s="14" t="str">
        <x:v>Nghỉ phép</x:v>
      </x:c>
    </x:row>
    <x:row r="6">
      <x:c r="A6" s="16" t="str">
        <x:v>EMP003</x:v>
      </x:c>
      <x:c r="B6" s="18" t="n">
        <x:v>46174</x:v>
      </x:c>
      <x:c r="C6" s="20" t="str">
        <x:v>09:00</x:v>
      </x:c>
      <x:c r="D6" s="20" t="str">
        <x:v>18:00</x:v>
      </x:c>
      <x:c r="E6" s="16" t="str">
        <x:v>PRESENT</x:v>
      </x:c>
      <x:c r="F6" s="14"/>
    </x:row>
    <x:row r="7">
      <x:c r="A7" s="16" t="str">
        <x:v>EMP003</x:v>
      </x:c>
      <x:c r="B7" s="18" t="n">
        <x:v>46175</x:v>
      </x:c>
      <x:c r="C7" s="20"/>
      <x:c r="D7" s="20"/>
      <x:c r="E7" s="16" t="str">
        <x:v>UNEXCUSED</x:v>
      </x:c>
      <x:c r="F7" s="14" t="str">
        <x:v>Nghỉ không phép</x:v>
      </x:c>
    </x:row>
  </x:sheetData>
  <x:conditionalFormatting sqref="E2:E50">
    <x:cfRule type="expression" dxfId="0" priority="1">
      <x:formula>E2="PRESENT"</x:formula>
    </x:cfRule>
    <x:cfRule type="expression" dxfId="1" priority="2">
      <x:formula>E2="LATE"</x:formula>
    </x:cfRule>
    <x:cfRule type="expression" dxfId="2" priority="3">
      <x:formula>E2="ABSENT"</x:formula>
    </x:cfRule>
    <x:cfRule type="expression" dxfId="3" priority="4">
      <x:formula>E2="UNEXCUSED"</x:formula>
    </x:cfRule>
  </x:conditionalFormatting>
  <x:dataValidations count="1">
    <x:dataValidation type="list" sqref="E2:E50">
      <x:formula1>"PRESENT,LATE,ABSENT,UNEXCUSED"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dc6fc2fe7c4e7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4" t="str">
        <x:v>Attendance Summary - IT - 06/2026</x:v>
      </x:c>
    </x:row>
    <x:row r="3">
      <x:c r="A3" s="6" t="str">
        <x:v>Status</x:v>
      </x:c>
      <x:c r="B3" s="6" t="str">
        <x:v>Count</x:v>
      </x:c>
      <x:c r="D3" s="6" t="str">
        <x:v>Employee</x:v>
      </x:c>
      <x:c r="E3" s="6" t="str">
        <x:v>Present</x:v>
      </x:c>
      <x:c r="F3" s="6" t="str">
        <x:v>Late</x:v>
      </x:c>
      <x:c r="G3" s="6" t="str">
        <x:v>Absent</x:v>
      </x:c>
      <x:c r="H3" s="6" t="str">
        <x:v>Unexcused</x:v>
      </x:c>
      <x:c r="I3" s="6" t="str">
        <x:v>Total</x:v>
      </x:c>
    </x:row>
    <x:row r="4">
      <x:c r="A4" s="28" t="str">
        <x:v>PRESENT</x:v>
      </x:c>
      <x:c r="B4" s="28" t="n">
        <x:f>COUNTIF(Attendance!$E$2:$E$7,"PRESENT")</x:f>
        <x:v>3</x:v>
      </x:c>
      <x:c r="D4" s="28" t="str">
        <x:v>EMP001</x:v>
      </x:c>
      <x:c r="E4" s="28" t="n">
        <x:f>COUNTIFS(Attendance!$A$2:$A$7,D4,Attendance!$E$2:$E$7,"PRESENT")</x:f>
        <x:v>1</x:v>
      </x:c>
      <x:c r="F4" s="28" t="n">
        <x:f>COUNTIFS(Attendance!$A$2:$A$7,D4,Attendance!$E$2:$E$7,"LATE")</x:f>
        <x:v>1</x:v>
      </x:c>
      <x:c r="G4" s="28" t="n">
        <x:f>COUNTIFS(Attendance!$A$2:$A$7,D4,Attendance!$E$2:$E$7,"ABSENT")</x:f>
        <x:v>0</x:v>
      </x:c>
      <x:c r="H4" s="28" t="n">
        <x:f>COUNTIFS(Attendance!$A$2:$A$7,D4,Attendance!$E$2:$E$7,"UNEXCUSED")</x:f>
        <x:v>0</x:v>
      </x:c>
      <x:c r="I4" s="28" t="n">
        <x:f>SUM(E4:H4)</x:f>
        <x:v>2</x:v>
      </x:c>
    </x:row>
    <x:row r="5">
      <x:c r="A5" s="28" t="str">
        <x:v>LATE</x:v>
      </x:c>
      <x:c r="B5" s="28" t="n">
        <x:f>COUNTIF(Attendance!$E$2:$E$7,"LATE")</x:f>
        <x:v>1</x:v>
      </x:c>
      <x:c r="D5" s="28" t="str">
        <x:v>EMP002</x:v>
      </x:c>
      <x:c r="E5" s="28" t="n">
        <x:f>COUNTIFS(Attendance!$A$2:$A$7,D5,Attendance!$E$2:$E$7,"PRESENT")</x:f>
        <x:v>1</x:v>
      </x:c>
      <x:c r="F5" s="28" t="n">
        <x:f>COUNTIFS(Attendance!$A$2:$A$7,D5,Attendance!$E$2:$E$7,"LATE")</x:f>
        <x:v>0</x:v>
      </x:c>
      <x:c r="G5" s="28" t="n">
        <x:f>COUNTIFS(Attendance!$A$2:$A$7,D5,Attendance!$E$2:$E$7,"ABSENT")</x:f>
        <x:v>1</x:v>
      </x:c>
      <x:c r="H5" s="28" t="n">
        <x:f>COUNTIFS(Attendance!$A$2:$A$7,D5,Attendance!$E$2:$E$7,"UNEXCUSED")</x:f>
        <x:v>0</x:v>
      </x:c>
      <x:c r="I5" s="28" t="n">
        <x:f>SUM(E5:H5)</x:f>
        <x:v>2</x:v>
      </x:c>
    </x:row>
    <x:row r="6">
      <x:c r="A6" s="28" t="str">
        <x:v>ABSENT</x:v>
      </x:c>
      <x:c r="B6" s="28" t="n">
        <x:f>COUNTIF(Attendance!$E$2:$E$7,"ABSENT")</x:f>
        <x:v>1</x:v>
      </x:c>
      <x:c r="D6" s="28" t="str">
        <x:v>EMP003</x:v>
      </x:c>
      <x:c r="E6" s="28" t="n">
        <x:f>COUNTIFS(Attendance!$A$2:$A$7,D6,Attendance!$E$2:$E$7,"PRESENT")</x:f>
        <x:v>1</x:v>
      </x:c>
      <x:c r="F6" s="28" t="n">
        <x:f>COUNTIFS(Attendance!$A$2:$A$7,D6,Attendance!$E$2:$E$7,"LATE")</x:f>
        <x:v>0</x:v>
      </x:c>
      <x:c r="G6" s="28" t="n">
        <x:f>COUNTIFS(Attendance!$A$2:$A$7,D6,Attendance!$E$2:$E$7,"ABSENT")</x:f>
        <x:v>0</x:v>
      </x:c>
      <x:c r="H6" s="28" t="n">
        <x:f>COUNTIFS(Attendance!$A$2:$A$7,D6,Attendance!$E$2:$E$7,"UNEXCUSED")</x:f>
        <x:v>1</x:v>
      </x:c>
      <x:c r="I6" s="28" t="n">
        <x:f>SUM(E6:H6)</x:f>
        <x:v>2</x:v>
      </x:c>
    </x:row>
    <x:row r="7">
      <x:c r="A7" s="28" t="str">
        <x:v>UNEXCUSED</x:v>
      </x:c>
      <x:c r="B7" s="28" t="n">
        <x:f>COUNTIF(Attendance!$E$2:$E$7,"UNEXCUSED")</x:f>
        <x:v>1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c871cfd05ee145ea"/>
    <x:tablePart xmlns:r="http://schemas.openxmlformats.org/officeDocument/2006/relationships" r:id="Rfe11e32b31a645e2"/>
  </x:tableParts>
</x:worksheet>
</file>