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esktop\SWP_2\"/>
    </mc:Choice>
  </mc:AlternateContent>
  <xr:revisionPtr revIDLastSave="0" documentId="13_ncr:1_{A84D7852-BC39-4FE8-AC2F-460059C7E49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ttendance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6" i="2"/>
  <c r="H5" i="2"/>
  <c r="G5" i="2"/>
  <c r="F5" i="2"/>
  <c r="E5" i="2"/>
  <c r="I5" i="2" s="1"/>
  <c r="B5" i="2"/>
  <c r="H4" i="2"/>
  <c r="G4" i="2"/>
  <c r="F4" i="2"/>
  <c r="E4" i="2"/>
  <c r="I4" i="2" s="1"/>
  <c r="B4" i="2"/>
</calcChain>
</file>

<file path=xl/sharedStrings.xml><?xml version="1.0" encoding="utf-8"?>
<sst xmlns="http://schemas.openxmlformats.org/spreadsheetml/2006/main" count="37" uniqueCount="26">
  <si>
    <t>employeeCode</t>
  </si>
  <si>
    <t>workDate</t>
  </si>
  <si>
    <t>timeIn</t>
  </si>
  <si>
    <t>timeOut</t>
  </si>
  <si>
    <t>attendanceStatus</t>
  </si>
  <si>
    <t>note</t>
  </si>
  <si>
    <t>EMP004</t>
  </si>
  <si>
    <t>08:00</t>
  </si>
  <si>
    <t>17:00</t>
  </si>
  <si>
    <t>PRESENT</t>
  </si>
  <si>
    <t>08:10</t>
  </si>
  <si>
    <t>LATE</t>
  </si>
  <si>
    <t>Kẹt xe</t>
  </si>
  <si>
    <t>EMP005</t>
  </si>
  <si>
    <t>ABSENT</t>
  </si>
  <si>
    <t>Nghỉ phép năm</t>
  </si>
  <si>
    <t>Attendance Summary - HR - 06/2026</t>
  </si>
  <si>
    <t>Status</t>
  </si>
  <si>
    <t>Count</t>
  </si>
  <si>
    <t>Employee</t>
  </si>
  <si>
    <t>Present</t>
  </si>
  <si>
    <t>Late</t>
  </si>
  <si>
    <t>Absent</t>
  </si>
  <si>
    <t>Unexcused</t>
  </si>
  <si>
    <t>Total</t>
  </si>
  <si>
    <t>UNEXCUSED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</si>
</sst>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</font>
    <font>
      <b/>
      <sz val="11"/>
      <color rgb="FFFFFFFF"/>
      <name val="Calibri"/>
    </font>
    <font>
      <b/>
      <sz val="14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4">
    <dxf>
      <font>
        <color rgb="FF4C1130"/>
      </font>
      <fill>
        <patternFill patternType="solid">
          <bgColor rgb="FFEADCF8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ttendance_HR_Table" displayName="Attendance_HR_Table" ref="A1:F5">
  <tableColumns count="6">
    <tableColumn id="1" xr3:uid="{00000000-0010-0000-0000-000001000000}" name="employeeCode"/>
    <tableColumn id="2" xr3:uid="{00000000-0010-0000-0000-000002000000}" name="workDate"/>
    <tableColumn id="3" xr3:uid="{00000000-0010-0000-0000-000003000000}" name="timeIn"/>
    <tableColumn id="4" xr3:uid="{00000000-0010-0000-0000-000004000000}" name="timeOut"/>
    <tableColumn id="5" xr3:uid="{00000000-0010-0000-0000-000005000000}" name="attendanceStatus"/>
    <tableColumn id="6" xr3:uid="{00000000-0010-0000-0000-000006000000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tus_HR_Summary" displayName="Status_HR_Summary" ref="A3:B7">
  <tableColumns count="2">
    <tableColumn id="1" xr3:uid="{00000000-0010-0000-0100-000001000000}" name="Status"/>
    <tableColumn id="2" xr3:uid="{00000000-0010-0000-0100-000002000000}" name="C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mployee_HR_Summary" displayName="Employee_HR_Summary" ref="D3:I5">
  <tableColumns count="6">
    <tableColumn id="1" xr3:uid="{00000000-0010-0000-0200-000001000000}" name="Employee"/>
    <tableColumn id="2" xr3:uid="{00000000-0010-0000-0200-000002000000}" name="Present"/>
    <tableColumn id="3" xr3:uid="{00000000-0010-0000-0200-000003000000}" name="Late"/>
    <tableColumn id="4" xr3:uid="{00000000-0010-0000-0200-000004000000}" name="Absent"/>
    <tableColumn id="5" xr3:uid="{00000000-0010-0000-0200-000005000000}" name="Unexcused"/>
    <tableColumn id="6" xr3:uid="{00000000-0010-0000-0200-000006000000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selection activeCell="D2" sqref="D2"/>
    </sheetView>
  </sheetViews>
  <sheetFormatPr defaultRowHeight="14.4" x14ac:dyDescent="0.3"/>
  <cols>
    <col min="1" max="1" width="16" customWidth="1"/>
    <col min="2" max="2" width="14" customWidth="1"/>
    <col min="3" max="4" width="12" customWidth="1"/>
    <col min="5" max="5" width="20" customWidth="1"/>
    <col min="6" max="6" width="28" customWidth="1"/>
  </cols>
  <sheetData>
    <row r="1" spans="1:6" ht="19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3" t="s">
        <v>6</v>
      </c>
      <c r="B2" s="4">
        <v>46174</v>
      </c>
      <c r="C2" s="5" t="s">
        <v>7</v>
      </c>
      <c r="D2" s="5" t="s">
        <v>8</v>
      </c>
      <c r="E2" s="3" t="s">
        <v>9</v>
      </c>
      <c r="F2" s="2"/>
    </row>
    <row r="3" spans="1:6" x14ac:dyDescent="0.3">
      <c r="A3" s="3" t="s">
        <v>6</v>
      </c>
      <c r="B3" s="4">
        <v>46175</v>
      </c>
      <c r="C3" s="5" t="s">
        <v>10</v>
      </c>
      <c r="D3" s="5" t="s">
        <v>8</v>
      </c>
      <c r="E3" s="3" t="s">
        <v>11</v>
      </c>
      <c r="F3" s="2" t="s">
        <v>12</v>
      </c>
    </row>
    <row r="4" spans="1:6" x14ac:dyDescent="0.3">
      <c r="A4" s="3" t="s">
        <v>13</v>
      </c>
      <c r="B4" s="4">
        <v>46174</v>
      </c>
      <c r="C4" s="5" t="s">
        <v>7</v>
      </c>
      <c r="D4" s="5" t="s">
        <v>8</v>
      </c>
      <c r="E4" s="3" t="s">
        <v>9</v>
      </c>
      <c r="F4" s="2"/>
    </row>
    <row r="5" spans="1:6" x14ac:dyDescent="0.3">
      <c r="A5" s="3" t="s">
        <v>13</v>
      </c>
      <c r="B5" s="4">
        <v>46175</v>
      </c>
      <c r="C5" s="5"/>
      <c r="D5" s="5"/>
      <c r="E5" s="3" t="s">
        <v>14</v>
      </c>
      <c r="F5" s="2" t="s">
        <v>15</v>
      </c>
    </row>
  </sheetData>
  <conditionalFormatting sqref="E2:E50">
    <cfRule type="expression" dxfId="3" priority="1">
      <formula>E2="PRESENT"</formula>
    </cfRule>
    <cfRule type="expression" dxfId="2" priority="2">
      <formula>E2="LATE"</formula>
    </cfRule>
    <cfRule type="expression" dxfId="1" priority="3">
      <formula>E2="ABSENT"</formula>
    </cfRule>
    <cfRule type="expression" dxfId="0" priority="4">
      <formula>E2="UNEXCUSED"</formula>
    </cfRule>
  </conditionalFormatting>
  <dataValidations count="1">
    <dataValidation type="list" sqref="E2:E50" xr:uid="{00000000-0002-0000-0000-000000000000}">
      <formula1>"PRESENT,LATE,ABSENT,UNEXCUSED"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workbookViewId="0"/>
  </sheetViews>
  <sheetFormatPr defaultRowHeight="14.4" x14ac:dyDescent="0.3"/>
  <cols>
    <col min="1" max="2" width="16" customWidth="1"/>
    <col min="4" max="9" width="14" customWidth="1"/>
  </cols>
  <sheetData>
    <row r="1" spans="1:9" ht="22.35" customHeight="1" x14ac:dyDescent="0.3">
      <c r="A1" s="7" t="s">
        <v>16</v>
      </c>
      <c r="B1" s="8"/>
      <c r="C1" s="8"/>
      <c r="D1" s="8"/>
      <c r="E1" s="8"/>
      <c r="F1" s="8"/>
    </row>
    <row r="3" spans="1:9" x14ac:dyDescent="0.3">
      <c r="A3" s="1" t="s">
        <v>17</v>
      </c>
      <c r="B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</row>
    <row r="4" spans="1:9" x14ac:dyDescent="0.3">
      <c r="A4" s="6" t="s">
        <v>9</v>
      </c>
      <c r="B4" s="6">
        <f>COUNTIF(Attendance!$E$2:$E$5,"PRESENT")</f>
        <v>2</v>
      </c>
      <c r="D4" s="6" t="s">
        <v>6</v>
      </c>
      <c r="E4" s="6">
        <f>COUNTIFS(Attendance!$A$2:$A$5,D4,Attendance!$E$2:$E$5,"PRESENT")</f>
        <v>1</v>
      </c>
      <c r="F4" s="6">
        <f>COUNTIFS(Attendance!$A$2:$A$5,D4,Attendance!$E$2:$E$5,"LATE")</f>
        <v>1</v>
      </c>
      <c r="G4" s="6">
        <f>COUNTIFS(Attendance!$A$2:$A$5,D4,Attendance!$E$2:$E$5,"ABSENT")</f>
        <v>0</v>
      </c>
      <c r="H4" s="6">
        <f>COUNTIFS(Attendance!$A$2:$A$5,D4,Attendance!$E$2:$E$5,"UNEXCUSED")</f>
        <v>0</v>
      </c>
      <c r="I4" s="6">
        <f>SUM(E4:H4)</f>
        <v>2</v>
      </c>
    </row>
    <row r="5" spans="1:9" x14ac:dyDescent="0.3">
      <c r="A5" s="6" t="s">
        <v>11</v>
      </c>
      <c r="B5" s="6">
        <f>COUNTIF(Attendance!$E$2:$E$5,"LATE")</f>
        <v>1</v>
      </c>
      <c r="D5" s="6" t="s">
        <v>13</v>
      </c>
      <c r="E5" s="6">
        <f>COUNTIFS(Attendance!$A$2:$A$5,D5,Attendance!$E$2:$E$5,"PRESENT")</f>
        <v>1</v>
      </c>
      <c r="F5" s="6">
        <f>COUNTIFS(Attendance!$A$2:$A$5,D5,Attendance!$E$2:$E$5,"LATE")</f>
        <v>0</v>
      </c>
      <c r="G5" s="6">
        <f>COUNTIFS(Attendance!$A$2:$A$5,D5,Attendance!$E$2:$E$5,"ABSENT")</f>
        <v>1</v>
      </c>
      <c r="H5" s="6">
        <f>COUNTIFS(Attendance!$A$2:$A$5,D5,Attendance!$E$2:$E$5,"UNEXCUSED")</f>
        <v>0</v>
      </c>
      <c r="I5" s="6">
        <f>SUM(E5:H5)</f>
        <v>2</v>
      </c>
    </row>
    <row r="6" spans="1:9" x14ac:dyDescent="0.3">
      <c r="A6" s="6" t="s">
        <v>14</v>
      </c>
      <c r="B6" s="6">
        <f>COUNTIF(Attendance!$E$2:$E$5,"ABSENT")</f>
        <v>1</v>
      </c>
    </row>
    <row r="7" spans="1:9" x14ac:dyDescent="0.3">
      <c r="A7" s="6" t="s">
        <v>25</v>
      </c>
      <c r="B7" s="6">
        <f>COUNTIF(Attendance!$E$2:$E$5,"UNEXCUSED")</f>
        <v>0</v>
      </c>
    </row>
  </sheetData>
  <mergeCells count="1">
    <mergeCell ref="A1:F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 Binh</cp:lastModifiedBy>
  <dcterms:modified xsi:type="dcterms:W3CDTF">2026-06-04T03:13:41Z</dcterms:modified>
</cp:coreProperties>
</file>